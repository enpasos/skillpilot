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28_A_2024" sheetId="1" state="visible" r:id="rId1"/>
    <sheet name="8328_B_Handwerk" sheetId="2" state="visible" r:id="rId2"/>
    <sheet name="685_A_GuV" sheetId="3" state="visible" r:id="rId3"/>
    <sheet name="685_B_Bilanz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Unternehmen C/G 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'8328_A_2024'!B1</f>
            </strRef>
          </tx>
          <spPr>
            <a:ln>
              <a:prstDash val="solid"/>
            </a:ln>
          </spPr>
          <cat>
            <numRef>
              <f>'8328_A_2024'!$A$2:$A$3</f>
            </numRef>
          </cat>
          <val>
            <numRef>
              <f>'8328_A_2024'!$B$2:$B$3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Abgrenzung laut Tabelle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 statistischer Unternehmen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Abhängige Beschäftigung C/G 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'8328_A_2024'!C1</f>
            </strRef>
          </tx>
          <spPr>
            <a:ln>
              <a:prstDash val="solid"/>
            </a:ln>
          </spPr>
          <cat>
            <numRef>
              <f>'8328_A_2024'!$A$2:$A$3</f>
            </numRef>
          </cat>
          <val>
            <numRef>
              <f>'8328_A_2024'!$C$2:$C$3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Abgrenzung laut Tabelle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Jahresdurchschnitt Beschäftigungsverhältnisse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Handwerkanteil aus gerundeten Zahlen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'8328_B_Handwerk'!D1</f>
            </strRef>
          </tx>
          <spPr>
            <a:ln>
              <a:prstDash val="solid"/>
            </a:ln>
          </spPr>
          <cat>
            <numRef>
              <f>'8328_B_Handwerk'!$A$2:$A$3</f>
            </numRef>
          </cat>
          <val>
            <numRef>
              <f>'8328_B_Handwerk'!$D$2:$D$3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Abgrenzung laut Tabelle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Anteil (0 bis1)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Umsatzentwicklung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'685_A_GuV'!B1</f>
            </strRef>
          </tx>
          <spPr>
            <a:ln>
              <a:prstDash val="solid"/>
            </a:ln>
          </spPr>
          <cat>
            <numRef>
              <f>'685_A_GuV'!$A$2:$A$4</f>
            </numRef>
          </cat>
          <val>
            <numRef>
              <f>'685_A_GuV'!$B$2:$B$4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Abgrenzung laut Tabelle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Tausend 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Gewinnentwicklung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'685_A_GuV'!C1</f>
            </strRef>
          </tx>
          <spPr>
            <a:ln>
              <a:prstDash val="solid"/>
            </a:ln>
          </spPr>
          <cat>
            <numRef>
              <f>'685_A_GuV'!$A$2:$A$4</f>
            </numRef>
          </cat>
          <val>
            <numRef>
              <f>'685_A_GuV'!$C$2:$C$4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Abgrenzung laut Tabelle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Tausend 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Finanzierungsstruktur am Stichtag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'685_B_Bilanz'!B1</f>
            </strRef>
          </tx>
          <spPr>
            <a:ln>
              <a:prstDash val="solid"/>
            </a:ln>
          </spPr>
          <cat>
            <numRef>
              <f>'685_B_Bilanz'!$A$2</f>
            </numRef>
          </cat>
          <val>
            <numRef>
              <f>'685_B_Bilanz'!$B$2</f>
            </numRef>
          </val>
        </ser>
        <ser>
          <idx val="1"/>
          <order val="1"/>
          <tx>
            <strRef>
              <f>'685_B_Bilanz'!C1</f>
            </strRef>
          </tx>
          <spPr>
            <a:ln>
              <a:prstDash val="solid"/>
            </a:ln>
          </spPr>
          <val>
            <numRef>
              <f>'685_B_Bilanz'!$C$2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Abgrenzung laut Tabelle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Tausend 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WZ08</t>
        </is>
      </c>
      <c r="B1" t="inlineStr">
        <is>
          <t>Statistische Unternehmen</t>
        </is>
      </c>
      <c r="C1" t="inlineStr">
        <is>
          <t>Beschäftigungsverhältnisse</t>
        </is>
      </c>
      <c r="D1" t="inlineStr">
        <is>
          <t>Beschäftigung je Unternehmen</t>
        </is>
      </c>
    </row>
    <row r="2">
      <c r="A2" t="inlineStr">
        <is>
          <t>C</t>
        </is>
      </c>
      <c r="B2" t="n">
        <v>198362</v>
      </c>
      <c r="C2" t="n">
        <v>7801230</v>
      </c>
      <c r="D2">
        <f>C2/B2</f>
        <v/>
      </c>
    </row>
    <row r="3">
      <c r="A3" t="inlineStr">
        <is>
          <t>G</t>
        </is>
      </c>
      <c r="B3" t="n">
        <v>538248</v>
      </c>
      <c r="C3" t="n">
        <v>6117332</v>
      </c>
      <c r="D3">
        <f>C3/B3</f>
        <v/>
      </c>
    </row>
    <row r="6">
      <c r="A6" t="inlineStr">
        <is>
          <t>Amtlicher Auszug 2024, Stand 3.8.2026. Beschäftigungsverhältnisse, keine eindeutigen Personenzahlen. Modelländerung ist getrennt fiktiv.</t>
        </is>
      </c>
    </row>
    <row r="8">
      <c r="A8" t="inlineStr">
        <is>
          <t>Fiktive Änderung nur Beschäftigung Handel +100000; keine amtliche Revision.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WZ08</t>
        </is>
      </c>
      <c r="B1" t="inlineStr">
        <is>
          <t>Rechtliche Einheiten in Tausend</t>
        </is>
      </c>
      <c r="C1" t="inlineStr">
        <is>
          <t>Handwerk in Tausend</t>
        </is>
      </c>
      <c r="D1" t="inlineStr">
        <is>
          <t>Anteil aus gerundeten Zahlen</t>
        </is>
      </c>
    </row>
    <row r="2">
      <c r="A2" t="inlineStr">
        <is>
          <t>C</t>
        </is>
      </c>
      <c r="B2" t="n">
        <v>210</v>
      </c>
      <c r="C2" t="n">
        <v>86</v>
      </c>
      <c r="D2" s="1">
        <f>C2/B2</f>
        <v/>
      </c>
    </row>
    <row r="3">
      <c r="A3" t="inlineStr">
        <is>
          <t>F</t>
        </is>
      </c>
      <c r="B3" t="n">
        <v>388</v>
      </c>
      <c r="C3" t="n">
        <v>250</v>
      </c>
      <c r="D3" s="1">
        <f>C3/B3</f>
        <v/>
      </c>
    </row>
    <row r="6">
      <c r="A6" t="inlineStr">
        <is>
          <t>Amtlicher Auszug 2024, Stand 23.4.2026. Originalanteile40.9/65.2%, gerechnete gerundete Zahlen abweichend. Keine Gleichsetzung mit statistischen Unternehmen in A.</t>
        </is>
      </c>
    </row>
    <row r="8">
      <c r="A8" t="inlineStr">
        <is>
          <t>Fiktive Änderung Bauhandwerk253→250 bei unverändertem388; keine amtliche Revision.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Jahr</t>
        </is>
      </c>
      <c r="B1" t="inlineStr">
        <is>
          <t>Umsatz in Tausend EUR</t>
        </is>
      </c>
      <c r="C1" t="inlineStr">
        <is>
          <t>Gewinn in Tausend EUR</t>
        </is>
      </c>
      <c r="D1" t="inlineStr">
        <is>
          <t>Gewinn/Umsatz</t>
        </is>
      </c>
    </row>
    <row r="2">
      <c r="A2" t="n">
        <v>2023</v>
      </c>
      <c r="B2" t="n">
        <v>100</v>
      </c>
      <c r="C2" t="n">
        <v>12</v>
      </c>
      <c r="D2" s="1">
        <f>C2/B2</f>
        <v/>
      </c>
    </row>
    <row r="3">
      <c r="A3" t="n">
        <v>2024</v>
      </c>
      <c r="B3" t="n">
        <v>130</v>
      </c>
      <c r="C3" t="n">
        <v>13</v>
      </c>
      <c r="D3" s="1">
        <f>C3/B3</f>
        <v/>
      </c>
    </row>
    <row r="4">
      <c r="A4" t="n">
        <v>2025</v>
      </c>
      <c r="B4" t="n">
        <v>150</v>
      </c>
      <c r="C4" t="n">
        <v>18</v>
      </c>
      <c r="D4" s="1">
        <f>C4/B4</f>
        <v/>
      </c>
    </row>
    <row r="7">
      <c r="A7" t="inlineStr">
        <is>
          <t>Fiktive gleich abgegrenzte Jahre. Unterschiedliche Größen getrennt gezeichnet, keine zweite versteckte Achse. Kein Kausal-, Liquiditäts- oder Sicherheitsbeweis.</t>
        </is>
      </c>
    </row>
    <row r="9">
      <c r="A9" t="inlineStr">
        <is>
          <t>Fiktive Gewinnänderung2025 9→18 bei unverändertemUmsatz150.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Fiktiver Stichtag</t>
        </is>
      </c>
      <c r="B1" t="inlineStr">
        <is>
          <t>Eigenkapital in Tausend EUR</t>
        </is>
      </c>
      <c r="C1" t="inlineStr">
        <is>
          <t>Schulden in Tausend EUR</t>
        </is>
      </c>
      <c r="D1" t="inlineStr">
        <is>
          <t>Summe</t>
        </is>
      </c>
      <c r="E1" t="inlineStr">
        <is>
          <t>EK/Summe</t>
        </is>
      </c>
      <c r="F1" t="inlineStr">
        <is>
          <t>Schulden/Summe</t>
        </is>
      </c>
    </row>
    <row r="2">
      <c r="A2" t="inlineStr">
        <is>
          <t>31.12.</t>
        </is>
      </c>
      <c r="B2" t="n">
        <v>110</v>
      </c>
      <c r="C2" t="n">
        <v>190</v>
      </c>
      <c r="D2">
        <f>B2+C2</f>
        <v/>
      </c>
      <c r="E2" s="1">
        <f>B2/D2</f>
        <v/>
      </c>
      <c r="F2" s="1">
        <f>C2/D2</f>
        <v/>
      </c>
    </row>
    <row r="5">
      <c r="A5" t="inlineStr">
        <is>
          <t>Aktiva insgesamt300 sind die Gegenseite, kein dritter Finanzierungsanteil. Lieferanten brauchen Fälligkeiten, Zahlungsmittel und Liquiditätsnachweise.</t>
        </is>
      </c>
    </row>
    <row r="7">
      <c r="A7" t="inlineStr">
        <is>
          <t>Fiktive Finanzierung bei Summe300: Eigenkapital110, Schulden190.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2026-10-10T06:05:57Z</dcterms:created>
  <dcterms:modified xsi:type="dcterms:W3CDTF">2026-10-10T06:05:57Z</dcterms:modified>
</cp:coreProperties>
</file>